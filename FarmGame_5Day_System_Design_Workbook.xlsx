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e16c74add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c8a0de7270d5480e"/>
    <x:sheet xmlns:r="http://schemas.openxmlformats.org/officeDocument/2006/relationships" name="01_Crops" sheetId="2" r:id="Rc942c175918f41f0"/>
    <x:sheet xmlns:r="http://schemas.openxmlformats.org/officeDocument/2006/relationships" name="02_Fishing" sheetId="3" r:id="R82b2fc18af9d4d70"/>
    <x:sheet xmlns:r="http://schemas.openxmlformats.org/officeDocument/2006/relationships" name="03_Shop_Quests" sheetId="4" r:id="R1018f3458ebd4852"/>
    <x:sheet xmlns:r="http://schemas.openxmlformats.org/officeDocument/2006/relationships" name="04_Balance_Model" sheetId="5" r:id="R4a25a43820054d99"/>
    <x:sheet xmlns:r="http://schemas.openxmlformats.org/officeDocument/2006/relationships" name="05_Economic_Loop" sheetId="6" r:id="R12e21d29577045bb"/>
    <x:sheet xmlns:r="http://schemas.openxmlformats.org/officeDocument/2006/relationships" name="06_Playtest" sheetId="7" r:id="R2fcf7b4891d2420b"/>
    <x:sheet xmlns:r="http://schemas.openxmlformats.org/officeDocument/2006/relationships" name="07_Portfolio_Case" sheetId="8" r:id="R83aacae2c81e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  <x:font>
      <x:b/>
      <x:sz val="11"/>
      <x:color rgb="FF244A38"/>
      <x:name val="Carlito"/>
    </x:font>
    <x:font>
      <x:sz val="11"/>
      <x:color rgb="FF315B45"/>
      <x:name val="Carlito"/>
    </x:font>
    <x:font>
      <x:sz val="11"/>
      <x:color rgb="FF444444"/>
      <x:name val="Carlito"/>
    </x:font>
    <x:font>
      <x:b/>
      <x:sz val="12"/>
      <x:color rgb="FF244A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4E7E65"/>
      </x:patternFill>
    </x:fill>
    <x:fill>
      <x:patternFill patternType="solid">
        <x:fgColor rgb="FFFFF4CC"/>
      </x:patternFill>
    </x:fill>
    <x:fill>
      <x:patternFill patternType="solid">
        <x:fgColor rgb="FFDDEFE4"/>
      </x:patternFill>
    </x:fill>
    <x:fill>
      <x:patternFill patternType="solid">
        <x:fgColor rgb="FFEEF6F0"/>
      </x:patternFill>
    </x:fill>
    <x:fill>
      <x:patternFill patternType="solid">
        <x:fgColor rgb="FFF1F3F4"/>
      </x:patternFill>
    </x:fill>
  </x:fills>
  <x:borders count="14">
    <x:border/>
    <x:border/>
    <x:border>
      <x:left style="thin">
        <x:color rgb="FF4E7E65"/>
      </x:left>
      <x:top style="thin">
        <x:color rgb="FF4E7E65"/>
      </x:top>
    </x:border>
    <x:border>
      <x:right style="thin">
        <x:color rgb="FF4E7E65"/>
      </x:right>
      <x:top style="thin">
        <x:color rgb="FF4E7E65"/>
      </x:top>
    </x:border>
    <x:border>
      <x:left style="thin">
        <x:color rgb="FF4E7E65"/>
      </x:left>
    </x:border>
    <x:border>
      <x:right style="thin">
        <x:color rgb="FF4E7E65"/>
      </x:right>
    </x:border>
    <x:border>
      <x:left style="thin">
        <x:color rgb="FF4E7E65"/>
      </x:left>
      <x:bottom style="thin">
        <x:color rgb="FF4E7E65"/>
      </x:bottom>
    </x:border>
    <x:border>
      <x:right style="thin">
        <x:color rgb="FF4E7E65"/>
      </x:right>
      <x:bottom style="thin">
        <x:color rgb="FF4E7E65"/>
      </x:bottom>
    </x:border>
    <x:border>
      <x:left style="thin">
        <x:color rgb="FF4E7E65"/>
      </x:left>
      <x:top style="thin">
        <x:color rgb="FF4E7E65"/>
      </x:top>
    </x:border>
    <x:border>
      <x:right style="thin">
        <x:color rgb="FF4E7E65"/>
      </x:right>
      <x:top style="thin">
        <x:color rgb="FF4E7E65"/>
      </x:top>
    </x:border>
    <x:border>
      <x:left style="thin">
        <x:color rgb="FF4E7E65"/>
      </x:left>
    </x:border>
    <x:border>
      <x:right style="thin">
        <x:color rgb="FF4E7E65"/>
      </x:right>
    </x:border>
    <x:border>
      <x:left style="thin">
        <x:color rgb="FF4E7E65"/>
      </x:left>
      <x:bottom style="thin">
        <x:color rgb="FF4E7E65"/>
      </x:bottom>
    </x:border>
    <x:border>
      <x:right style="thin">
        <x:color rgb="FF4E7E65"/>
      </x:right>
      <x:bottom style="thin">
        <x:color rgb="FF4E7E65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0" fontId="3" fillId="4" borderId="0" xfId="0" applyNumberFormat="1" applyFont="1" applyFill="1" applyBorder="1"/>
    <x:xf numFmtId="200" fontId="6" fillId="7" borderId="0" xfId="0" applyNumberFormat="1" applyFont="1" applyFill="1" applyBorder="1"/>
    <x:xf numFmtId="200" fontId="3" fillId="4" borderId="1" xfId="0" applyNumberFormat="1" applyFont="1" applyFill="1" applyBorder="1"/>
    <x:xf numFmtId="200" fontId="6" fillId="7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horizontal="center" wrapText="1"/>
    </x:xf>
    <x:xf numFmtId="0" fontId="7" fillId="5" borderId="3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5" xfId="0" applyNumberFormat="1" applyFont="1" applyFill="1" applyBorder="1" applyAlignment="1">
      <x:alignment horizontal="center" wrapText="1"/>
    </x:xf>
    <x:xf numFmtId="0" fontId="7" fillId="5" borderId="6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11" xfId="0" applyNumberFormat="1" applyFont="1" applyFill="1" applyBorder="1" applyAlignment="1">
      <x:alignment horizontal="center" wrapText="1"/>
    </x:xf>
    <x:xf numFmtId="0" fontId="7" fillId="5" borderId="12" xfId="0" applyNumberFormat="1" applyFont="1" applyFill="1" applyBorder="1" applyAlignment="1">
      <x:alignment horizontal="center" wrapText="1"/>
    </x:xf>
    <x:xf numFmtId="0" fontId="7" fillId="5" borderId="13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  <x:xf numFmtId="0" fontId="7" fillId="5" borderId="12" xfId="0" applyNumberFormat="1" applyFont="1" applyFill="1" applyBorder="1" applyAlignment="1">
      <x:alignment horizontal="center" vertical="center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e39cc90ed4966" /><Relationship Type="http://schemas.openxmlformats.org/officeDocument/2006/relationships/theme" Target="/xl/theme/theme1.xml" Id="R7537ba6ccbc140db" /><Relationship Type="http://schemas.openxmlformats.org/officeDocument/2006/relationships/sharedStrings" Target="/xl/sharedStrings.xml" Id="R5a0771889659459a" /><Relationship Type="http://schemas.openxmlformats.org/officeDocument/2006/relationships/worksheet" Target="/xl/worksheets/sheet1.xml" Id="Rc8a0de7270d5480e" /><Relationship Type="http://schemas.openxmlformats.org/officeDocument/2006/relationships/worksheet" Target="/xl/worksheets/sheet2.xml" Id="Rc942c175918f41f0" /><Relationship Type="http://schemas.openxmlformats.org/officeDocument/2006/relationships/worksheet" Target="/xl/worksheets/sheet3.xml" Id="R82b2fc18af9d4d70" /><Relationship Type="http://schemas.openxmlformats.org/officeDocument/2006/relationships/worksheet" Target="/xl/worksheets/sheet4.xml" Id="R1018f3458ebd4852" /><Relationship Type="http://schemas.openxmlformats.org/officeDocument/2006/relationships/worksheet" Target="/xl/worksheets/sheet5.xml" Id="R4a25a43820054d99" /><Relationship Type="http://schemas.openxmlformats.org/officeDocument/2006/relationships/worksheet" Target="/xl/worksheets/sheet6.xml" Id="R12e21d29577045bb" /><Relationship Type="http://schemas.openxmlformats.org/officeDocument/2006/relationships/worksheet" Target="/xl/worksheets/sheet7.xml" Id="R2fcf7b4891d2420b" /><Relationship Type="http://schemas.openxmlformats.org/officeDocument/2006/relationships/worksheet" Target="/xl/worksheets/sheet8.xml" Id="R83aacae2c81e42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d9755fbfcd46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caa376674d4d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预计日收益对比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类型</c:v>
          </c:tx>
          <c:cat>
            <c:strRef>
              <c:f>'04_Balance_Model'!$A$4:$A$9</c:f>
              <c:strCache>
                <c:ptCount val="0"/>
              </c:strCache>
            </c:strRef>
          </c:cat>
          <c:val>
            <c:numRef>
              <c:f>'04_Balance_Model'!$B$4:$B$9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单位收益口径</c:v>
          </c:tx>
          <c:cat>
            <c:strRef>
              <c:f>'04_Balance_Model'!$A$4:$A$9</c:f>
              <c:strCache>
                <c:ptCount val="0"/>
              </c:strCache>
            </c:strRef>
          </c:cat>
          <c:val>
            <c:numRef>
              <c:f>'04_Balance_Model'!$C$4:$C$9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典型投入量</c:v>
          </c:tx>
          <c:cat>
            <c:strRef>
              <c:f>'04_Balance_Model'!$A$4:$A$9</c:f>
              <c:strCache>
                <c:ptCount val="0"/>
              </c:strCache>
            </c:strRef>
          </c:cat>
          <c:val>
            <c:numRef>
              <c:f>'04_Balance_Model'!$D$4:$D$9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单位期望收益</c:v>
          </c:tx>
          <c:cat>
            <c:strRef>
              <c:f>'04_Balance_Model'!$A$4:$A$9</c:f>
              <c:strCache>
                <c:ptCount val="0"/>
              </c:strCache>
            </c:strRef>
          </c:cat>
          <c:val>
            <c:numRef>
              <c:f>'04_Balance_Model'!$E$4:$E$9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预计日收益</c:v>
          </c:tx>
          <c:cat>
            <c:strRef>
              <c:f>'04_Balance_Model'!$A$4:$A$9</c:f>
              <c:strCache>
                <c:ptCount val="0"/>
              </c:strCache>
            </c:strRef>
          </c:cat>
          <c:val>
            <c:numRef>
              <c:f>'04_Balance_Model'!$F$4:$F$9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收入结构 Before / After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V1 收入</c:v>
          </c:tx>
          <c:cat>
            <c:strRef>
              <c:f>'06_Playtest'!$A$16:$A$19</c:f>
              <c:strCache>
                <c:ptCount val="0"/>
              </c:strCache>
            </c:strRef>
          </c:cat>
          <c:val>
            <c:numRef>
              <c:f>'06_Playtest'!$B$16:$B$19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V1 占比</c:v>
          </c:tx>
          <c:cat>
            <c:strRef>
              <c:f>'06_Playtest'!$A$16:$A$19</c:f>
              <c:strCache>
                <c:ptCount val="0"/>
              </c:strCache>
            </c:strRef>
          </c:cat>
          <c:val>
            <c:numRef>
              <c:f>'06_Playtest'!$C$16:$C$19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V2 收入</c:v>
          </c:tx>
          <c:cat>
            <c:strRef>
              <c:f>'06_Playtest'!$A$16:$A$19</c:f>
              <c:strCache>
                <c:ptCount val="0"/>
              </c:strCache>
            </c:strRef>
          </c:cat>
          <c:val>
            <c:numRef>
              <c:f>'06_Playtest'!$D$16:$D$19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V2 占比</c:v>
          </c:tx>
          <c:cat>
            <c:strRef>
              <c:f>'06_Playtest'!$A$16:$A$19</c:f>
              <c:strCache>
                <c:ptCount val="0"/>
              </c:strCache>
            </c:strRef>
          </c:cat>
          <c:val>
            <c:numRef>
              <c:f>'06_Playtest'!$E$16:$E$19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d9755fbfcd466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caa376674d4d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7f001333234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cd5179742d1484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6" hidden="0" customWidth="1"/>
    <x:col min="5" max="5" width="13" hidden="0" customWidth="1"/>
    <x:col min="6" max="6" width="13" hidden="0" customWidth="1"/>
    <x:col min="7" max="7" width="14" hidden="0" customWidth="1"/>
    <x:col min="8" max="8" width="28" hidden="0" customWidth="1"/>
  </x:cols>
  <x:sheetData>
    <x:row r="1" ht="28" customHeight="1">
      <x:c r="A1" s="38" t="str">
        <x:v>农场 Demo｜5天系统设计与数值平衡工作簿</x:v>
      </x:c>
      <x:c r="B1" s="38"/>
      <x:c r="C1" s="38"/>
      <x:c r="D1" s="38"/>
      <x:c r="E1" s="38"/>
      <x:c r="F1" s="38"/>
      <x:c r="G1" s="38"/>
      <x:c r="H1" s="38"/>
    </x:row>
    <x:row r="3">
      <x:c r="A3" s="14" t="str">
        <x:v>天数</x:v>
      </x:c>
      <x:c r="B3" s="14" t="str">
        <x:v>阶段</x:v>
      </x:c>
      <x:c r="C3" s="14" t="str">
        <x:v>核心任务</x:v>
      </x:c>
      <x:c r="D3" s="14" t="str">
        <x:v>主要产出</x:v>
      </x:c>
      <x:c r="E3" s="14" t="str">
        <x:v>是否改代码</x:v>
      </x:c>
      <x:c r="F3" s="14" t="str">
        <x:v>状态</x:v>
      </x:c>
      <x:c r="G3" s="14" t="str">
        <x:v>完成日期</x:v>
      </x:c>
      <x:c r="H3" s="14" t="str">
        <x:v>备注</x:v>
      </x:c>
    </x:row>
    <x:row r="4">
      <x:c r="A4" t="str">
        <x:v>Day 1</x:v>
      </x:c>
      <x:c r="B4" t="str">
        <x:v>数据盘点</x:v>
      </x:c>
      <x:c r="C4" t="str">
        <x:v>盘点作物、钓鱼、商店、任务的原始数值</x:v>
      </x:c>
      <x:c r="D4" t="str">
        <x:v>原始数值总表</x:v>
      </x:c>
      <x:c r="E4" t="str">
        <x:v>否</x:v>
      </x:c>
      <x:c r="F4" s="21" t="str">
        <x:v>未开始</x:v>
      </x:c>
      <x:c r="G4" s="21" t="str"/>
      <x:c r="H4" s="21" t="str"/>
    </x:row>
    <x:row r="5">
      <x:c r="A5" t="str">
        <x:v>Day 2</x:v>
      </x:c>
      <x:c r="B5" t="str">
        <x:v>建立平衡模型</x:v>
      </x:c>
      <x:c r="C5" t="str">
        <x:v>计算收益、识别失衡、确定目标比例</x:v>
      </x:c>
      <x:c r="D5" t="str">
        <x:v>收益对比表与平衡目标</x:v>
      </x:c>
      <x:c r="E5" t="str">
        <x:v>否</x:v>
      </x:c>
      <x:c r="F5" s="21" t="str">
        <x:v>未开始</x:v>
      </x:c>
      <x:c r="G5" s="21" t="str"/>
      <x:c r="H5" s="21" t="str"/>
    </x:row>
    <x:row r="6">
      <x:c r="A6" t="str">
        <x:v>Day 3</x:v>
      </x:c>
      <x:c r="B6" t="str">
        <x:v>改数值 + 修 Bug</x:v>
      </x:c>
      <x:c r="C6" t="str">
        <x:v>修复商店扣金币并调整价格/售价</x:v>
      </x:c>
      <x:c r="D6" t="str">
        <x:v>可玩的 V2 数值版本</x:v>
      </x:c>
      <x:c r="E6" t="str">
        <x:v>是</x:v>
      </x:c>
      <x:c r="F6" s="21" t="str">
        <x:v>未开始</x:v>
      </x:c>
      <x:c r="G6" s="21" t="str"/>
      <x:c r="H6" s="21" t="str"/>
    </x:row>
    <x:row r="7">
      <x:c r="A7" t="str">
        <x:v>Day 4</x:v>
      </x:c>
      <x:c r="B7" t="str">
        <x:v>真实测试</x:v>
      </x:c>
      <x:c r="C7" t="str">
        <x:v>完整测试两轮并记录真实数据</x:v>
      </x:c>
      <x:c r="D7" t="str">
        <x:v>Before / After 测试表</x:v>
      </x:c>
      <x:c r="E7" t="str">
        <x:v>少量</x:v>
      </x:c>
      <x:c r="F7" s="21" t="str">
        <x:v>未开始</x:v>
      </x:c>
      <x:c r="G7" s="21" t="str"/>
      <x:c r="H7" s="21" t="str"/>
    </x:row>
    <x:row r="8">
      <x:c r="A8" t="str">
        <x:v>Day 5</x:v>
      </x:c>
      <x:c r="B8" t="str">
        <x:v>作品集整理</x:v>
      </x:c>
      <x:c r="C8" t="str">
        <x:v>整理问题、目标、过程和结果</x:v>
      </x:c>
      <x:c r="D8" t="str">
        <x:v>一页案例说明</x:v>
      </x:c>
      <x:c r="E8" t="str">
        <x:v>否</x:v>
      </x:c>
      <x:c r="F8" s="21" t="str">
        <x:v>未开始</x:v>
      </x:c>
      <x:c r="G8" s="21" t="str"/>
      <x:c r="H8" s="21" t="str"/>
    </x:row>
    <x:row r="10">
      <x:c r="A10" s="27" t="str">
        <x:v>填写规则</x:v>
      </x:c>
      <x:c r="B10" s="27"/>
      <x:c r="C10" s="27"/>
      <x:c r="D10" s="27"/>
      <x:c r="E10" s="27"/>
      <x:c r="F10" s="27"/>
      <x:c r="G10" s="27"/>
      <x:c r="H10" s="27"/>
    </x:row>
    <x:row r="11">
      <x:c r="A11" s="27" t="str">
        <x:v>黄色单元格</x:v>
      </x:c>
      <x:c r="B11" s="34" t="str">
        <x:v>需要你从 Godot 代码或真实测试中填写</x:v>
      </x:c>
      <x:c r="C11" s="34" t="str"/>
      <x:c r="D11" s="34" t="str"/>
      <x:c r="E11" s="34" t="str"/>
      <x:c r="F11" s="34" t="str"/>
      <x:c r="G11" s="34" t="str"/>
      <x:c r="H11" s="34" t="str"/>
    </x:row>
    <x:row r="12">
      <x:c r="A12" s="27" t="str">
        <x:v>灰色单元格</x:v>
      </x:c>
      <x:c r="B12" s="34" t="str">
        <x:v>公式自动计算，不要手动覆盖</x:v>
      </x:c>
      <x:c r="C12" s="34" t="str"/>
      <x:c r="D12" s="34" t="str"/>
      <x:c r="E12" s="34" t="str"/>
      <x:c r="F12" s="34" t="str"/>
      <x:c r="G12" s="34" t="str"/>
      <x:c r="H12" s="34" t="str"/>
    </x:row>
    <x:row r="13">
      <x:c r="A13" s="27" t="str">
        <x:v>真实数据原则</x:v>
      </x:c>
      <x:c r="B13" s="34" t="str">
        <x:v>所有价格、概率、时长和测试结果都必须来自代码或实际游玩，不编数字</x:v>
      </x:c>
      <x:c r="C13" s="34" t="str"/>
      <x:c r="D13" s="34" t="str"/>
      <x:c r="E13" s="34" t="str"/>
      <x:c r="F13" s="34" t="str"/>
      <x:c r="G13" s="34" t="str"/>
      <x:c r="H13" s="34" t="str"/>
    </x:row>
    <x:row r="14">
      <x:c r="A14" s="27" t="str">
        <x:v>范围控制</x:v>
      </x:c>
      <x:c r="B14" s="34" t="str">
        <x:v>本轮不做温室重构、存档系统和前10日解锁逻辑代码</x:v>
      </x:c>
      <x:c r="C14" s="34" t="str"/>
      <x:c r="D14" s="34" t="str"/>
      <x:c r="E14" s="34" t="str"/>
      <x:c r="F14" s="34" t="str"/>
      <x:c r="G14" s="34" t="str"/>
      <x:c r="H14" s="34" t="str"/>
    </x:row>
  </x:sheetData>
  <x:mergeCells>
    <x:mergeCell ref="A1:H1"/>
    <x:mergeCell ref="A10:H10"/>
  </x:mergeCells>
  <x:dataValidations count="1">
    <x:dataValidation type="list" sqref="F4:F8">
      <x:formula1>"未开始,进行中,已完成,阻塞"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4" hidden="0" customWidth="1"/>
  </x:cols>
  <x:sheetData>
    <x:row r="1">
      <x:c r="A1" s="5" t="str">
        <x:v>Day 1｜作物原始数值表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作物</x:v>
      </x:c>
      <x:c r="B3" s="14" t="str">
        <x:v>种子成本</x:v>
      </x:c>
      <x:c r="C3" s="14" t="str">
        <x:v>单个售价</x:v>
      </x:c>
      <x:c r="D3" s="14" t="str">
        <x:v>生长周期（天）</x:v>
      </x:c>
      <x:c r="E3" s="14" t="str">
        <x:v>单次收获数量</x:v>
      </x:c>
      <x:c r="F3" s="14" t="str">
        <x:v>单周期总收入</x:v>
      </x:c>
      <x:c r="G3" s="14" t="str">
        <x:v>单周期净收益</x:v>
      </x:c>
      <x:c r="H3" s="14" t="str">
        <x:v>日均净收益</x:v>
      </x:c>
      <x:c r="I3" s="14" t="str">
        <x:v>典型种植格数</x:v>
      </x:c>
      <x:c r="J3" s="14" t="str">
        <x:v>设计定位</x:v>
      </x:c>
      <x:c r="K3" s="14" t="str">
        <x:v>代码来源/路径</x:v>
      </x:c>
    </x:row>
    <x:row r="4">
      <x:c r="A4" t="str">
        <x:v>Tomato</x:v>
      </x:c>
      <x:c r="B4" s="44"/>
      <x:c r="C4" s="44"/>
      <x:c r="D4" s="44"/>
      <x:c r="E4" s="44"/>
      <x:c r="F4" s="45" t="n">
        <x:f>C4*E4</x:f>
        <x:v>0</x:v>
      </x:c>
      <x:c r="G4" s="45" t="n">
        <x:f>F4-B4</x:f>
        <x:v>0</x:v>
      </x:c>
      <x:c r="H4" s="45" t="n">
        <x:f>IFERROR(G4/D4,0)</x:f>
        <x:v>0</x:v>
      </x:c>
      <x:c r="I4" s="44"/>
      <x:c r="J4" s="21"/>
      <x:c r="K4" s="21"/>
    </x:row>
    <x:row r="5">
      <x:c r="A5" t="str">
        <x:v>Corn</x:v>
      </x:c>
      <x:c r="B5" s="44"/>
      <x:c r="C5" s="44"/>
      <x:c r="D5" s="44"/>
      <x:c r="E5" s="44"/>
      <x:c r="F5" s="45" t="n">
        <x:f>C5*E5</x:f>
        <x:v>0</x:v>
      </x:c>
      <x:c r="G5" s="45" t="n">
        <x:f>F5-B5</x:f>
        <x:v>0</x:v>
      </x:c>
      <x:c r="H5" s="45" t="n">
        <x:f>IFERROR(G5/D5,0)</x:f>
        <x:v>0</x:v>
      </x:c>
      <x:c r="I5" s="44"/>
      <x:c r="J5" s="21"/>
      <x:c r="K5" s="21"/>
    </x:row>
    <x:row r="6">
      <x:c r="A6" t="str">
        <x:v>Pumpkin</x:v>
      </x:c>
      <x:c r="B6" s="44"/>
      <x:c r="C6" s="44"/>
      <x:c r="D6" s="44"/>
      <x:c r="E6" s="44"/>
      <x:c r="F6" s="45" t="n">
        <x:f>C6*E6</x:f>
        <x:v>0</x:v>
      </x:c>
      <x:c r="G6" s="45" t="n">
        <x:f>F6-B6</x:f>
        <x:v>0</x:v>
      </x:c>
      <x:c r="H6" s="45" t="n">
        <x:f>IFERROR(G6/D6,0)</x:f>
        <x:v>0</x:v>
      </x:c>
      <x:c r="I6" s="44"/>
      <x:c r="J6" s="21"/>
      <x:c r="K6" s="21"/>
    </x:row>
    <x:row r="7">
      <x:c r="A7" t="str">
        <x:v>Wheat</x:v>
      </x:c>
      <x:c r="B7" s="44"/>
      <x:c r="C7" s="44"/>
      <x:c r="D7" s="44"/>
      <x:c r="E7" s="44"/>
      <x:c r="F7" s="45" t="n">
        <x:f>C7*E7</x:f>
        <x:v>0</x:v>
      </x:c>
      <x:c r="G7" s="45" t="n">
        <x:f>F7-B7</x:f>
        <x:v>0</x:v>
      </x:c>
      <x:c r="H7" s="45" t="n">
        <x:f>IFERROR(G7/D7,0)</x:f>
        <x:v>0</x:v>
      </x:c>
      <x:c r="I7" s="44"/>
      <x:c r="J7" s="21"/>
      <x:c r="K7" s="21"/>
    </x:row>
    <x:row r="10">
      <x:c r="A10" s="34" t="str">
        <x:v>计算口径：单周期总收入 = 单个售价 × 单次收获数量；单周期净收益 = 总收入 − 种子成本；日均净收益 = 单周期净收益 ÷ 生长周期。</x:v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</x:row>
  </x:sheetData>
  <x:mergeCells>
    <x:mergeCell ref="A1:K1"/>
    <x:mergeCell ref="A10:K10"/>
  </x:mergeCells>
  <x:conditionalFormatting sqref="H4:H7">
    <x:cfRule type="dataBar" priority="1">
      <x:dataBar>
        <x:cfvo type="min"/>
        <x:cfvo type="max"/>
        <x:color rgb="FF6A9C7A"/>
      </x:dataBar>
      <x:extLst>
        <x:ext xmlns:x14="http://schemas.microsoft.com/office/spreadsheetml/2009/9/main" uri="{B025F937-C7B1-47D3-B67F-A62EFF666E3E}">
          <x14:id>{5D1BA9F6-015B-2D71-AA1B-D80E45037580}</x14:id>
        </x:ext>
      </x:extLst>
    </x:cfRule>
  </x:conditionalFormatting>
  <x:dataValidations count="1">
    <x:dataValidation type="list" sqref="J4:J7">
      <x:formula1>"新手稳定,快速回款,长期投资,高投入高回报,待定义"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1BA9F6-015B-2D71-AA1B-D80E45037580}">
            <x14:dataBar gradient="1">
              <x14:cfvo type="min"/>
              <x14:cfvo type="max"/>
              <x14:fillColor rgb="FF6A9C7A"/>
            </x14:dataBar>
          </x14:cfRule>
          <xm:sqref>H4:H7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30" hidden="0" customWidth="1"/>
    <x:col min="10" max="10" width="18" hidden="0" customWidth="1"/>
    <x:col min="11" max="11" width="24" hidden="0" customWidth="1"/>
  </x:cols>
  <x:sheetData>
    <x:row r="1">
      <x:c r="A1" s="5" t="str">
        <x:v>Day 1–2｜钓鱼原始数值与期望收益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鱼类名称</x:v>
      </x:c>
      <x:c r="B3" s="14" t="str">
        <x:v>稀有度</x:v>
      </x:c>
      <x:c r="C3" s="14" t="str">
        <x:v>出现概率</x:v>
      </x:c>
      <x:c r="D3" s="14" t="str">
        <x:v>售价</x:v>
      </x:c>
      <x:c r="E3" s="14" t="str">
        <x:v>平均每次耗时（秒）</x:v>
      </x:c>
      <x:c r="F3" s="14" t="str">
        <x:v>捕获成功率</x:v>
      </x:c>
      <x:c r="G3" s="14" t="str">
        <x:v>单次期望收益</x:v>
      </x:c>
      <x:c r="H3" s="14" t="str">
        <x:v>每分钟期望收益</x:v>
      </x:c>
      <x:c r="I3" s="14" t="str">
        <x:v>掉落/配置来源</x:v>
      </x:c>
      <x:c r="J3" s="14" t="str">
        <x:v>设计定位</x:v>
      </x:c>
      <x:c r="K3" s="14" t="str">
        <x:v>备注</x:v>
      </x:c>
    </x:row>
    <x:row r="4">
      <x:c r="A4" s="21"/>
      <x:c r="B4" s="21"/>
      <x:c r="C4" s="48"/>
      <x:c r="D4" s="21"/>
      <x:c r="E4" s="21"/>
      <x:c r="F4" s="48"/>
      <x:c r="G4" s="45" t="n">
        <x:f>C4*D4*F4</x:f>
        <x:v>0</x:v>
      </x:c>
      <x:c r="H4" s="45" t="n">
        <x:f>IFERROR(G4*60/E4,0)</x:f>
        <x:v>0</x:v>
      </x:c>
      <x:c r="I4" s="21"/>
      <x:c r="J4" s="21"/>
      <x:c r="K4" s="21"/>
    </x:row>
    <x:row r="5">
      <x:c r="A5" s="21"/>
      <x:c r="B5" s="21"/>
      <x:c r="C5" s="48"/>
      <x:c r="D5" s="21"/>
      <x:c r="E5" s="21"/>
      <x:c r="F5" s="48"/>
      <x:c r="G5" s="45" t="n">
        <x:f>C5*D5*F5</x:f>
        <x:v>0</x:v>
      </x:c>
      <x:c r="H5" s="45" t="n">
        <x:f>IFERROR(G5*60/E5,0)</x:f>
        <x:v>0</x:v>
      </x:c>
      <x:c r="I5" s="21"/>
      <x:c r="J5" s="21"/>
      <x:c r="K5" s="21"/>
    </x:row>
    <x:row r="6">
      <x:c r="A6" s="21"/>
      <x:c r="B6" s="21"/>
      <x:c r="C6" s="48"/>
      <x:c r="D6" s="21"/>
      <x:c r="E6" s="21"/>
      <x:c r="F6" s="48"/>
      <x:c r="G6" s="45" t="n">
        <x:f>C6*D6*F6</x:f>
        <x:v>0</x:v>
      </x:c>
      <x:c r="H6" s="45" t="n">
        <x:f>IFERROR(G6*60/E6,0)</x:f>
        <x:v>0</x:v>
      </x:c>
      <x:c r="I6" s="21"/>
      <x:c r="J6" s="21"/>
      <x:c r="K6" s="21"/>
    </x:row>
    <x:row r="7">
      <x:c r="A7" s="21"/>
      <x:c r="B7" s="21"/>
      <x:c r="C7" s="48"/>
      <x:c r="D7" s="21"/>
      <x:c r="E7" s="21"/>
      <x:c r="F7" s="48"/>
      <x:c r="G7" s="45" t="n">
        <x:f>C7*D7*F7</x:f>
        <x:v>0</x:v>
      </x:c>
      <x:c r="H7" s="45" t="n">
        <x:f>IFERROR(G7*60/E7,0)</x:f>
        <x:v>0</x:v>
      </x:c>
      <x:c r="I7" s="21"/>
      <x:c r="J7" s="21"/>
      <x:c r="K7" s="21"/>
    </x:row>
    <x:row r="8">
      <x:c r="A8" s="21"/>
      <x:c r="B8" s="21"/>
      <x:c r="C8" s="48"/>
      <x:c r="D8" s="21"/>
      <x:c r="E8" s="21"/>
      <x:c r="F8" s="48"/>
      <x:c r="G8" s="45" t="n">
        <x:f>C8*D8*F8</x:f>
        <x:v>0</x:v>
      </x:c>
      <x:c r="H8" s="45" t="n">
        <x:f>IFERROR(G8*60/E8,0)</x:f>
        <x:v>0</x:v>
      </x:c>
      <x:c r="I8" s="21"/>
      <x:c r="J8" s="21"/>
      <x:c r="K8" s="21"/>
    </x:row>
    <x:row r="9">
      <x:c r="A9" s="21"/>
      <x:c r="B9" s="21"/>
      <x:c r="C9" s="48"/>
      <x:c r="D9" s="21"/>
      <x:c r="E9" s="21"/>
      <x:c r="F9" s="48"/>
      <x:c r="G9" s="45" t="n">
        <x:f>C9*D9*F9</x:f>
        <x:v>0</x:v>
      </x:c>
      <x:c r="H9" s="45" t="n">
        <x:f>IFERROR(G9*60/E9,0)</x:f>
        <x:v>0</x:v>
      </x:c>
      <x:c r="I9" s="21"/>
      <x:c r="J9" s="21"/>
      <x:c r="K9" s="21"/>
    </x:row>
    <x:row r="10">
      <x:c r="A10" s="21"/>
      <x:c r="B10" s="21"/>
      <x:c r="C10" s="48"/>
      <x:c r="D10" s="21"/>
      <x:c r="E10" s="21"/>
      <x:c r="F10" s="48"/>
      <x:c r="G10" s="45" t="n">
        <x:f>C10*D10*F10</x:f>
        <x:v>0</x:v>
      </x:c>
      <x:c r="H10" s="45" t="n">
        <x:f>IFERROR(G10*60/E10,0)</x:f>
        <x:v>0</x:v>
      </x:c>
      <x:c r="I10" s="21"/>
      <x:c r="J10" s="21"/>
      <x:c r="K10" s="21"/>
    </x:row>
    <x:row r="11">
      <x:c r="A11" s="21"/>
      <x:c r="B11" s="21"/>
      <x:c r="C11" s="48"/>
      <x:c r="D11" s="21"/>
      <x:c r="E11" s="21"/>
      <x:c r="F11" s="48"/>
      <x:c r="G11" s="45" t="n">
        <x:f>C11*D11*F11</x:f>
        <x:v>0</x:v>
      </x:c>
      <x:c r="H11" s="45" t="n">
        <x:f>IFERROR(G11*60/E11,0)</x:f>
        <x:v>0</x:v>
      </x:c>
      <x:c r="I11" s="21"/>
      <x:c r="J11" s="21"/>
      <x:c r="K11" s="21"/>
    </x:row>
    <x:row r="14">
      <x:c r="A14" s="14" t="str">
        <x:v>检查项</x:v>
      </x:c>
      <x:c r="B14" s="14" t="str">
        <x:v>当前值</x:v>
      </x:c>
      <x:c r="C14" s="14" t="str">
        <x:v>目标/规则</x:v>
      </x:c>
      <x:c r="D14" s="14" t="str">
        <x:v>状态</x:v>
      </x:c>
    </x:row>
    <x:row r="15">
      <x:c r="A15" t="str">
        <x:v>概率总和</x:v>
      </x:c>
      <x:c r="B15" s="50" t="n">
        <x:f>SUM(C4:C11)</x:f>
        <x:v>0</x:v>
      </x:c>
      <x:c r="C15" t="str">
        <x:v>应接近 100%</x:v>
      </x:c>
      <x:c r="D15" s="41" t="str">
        <x:f>IF(ABS(B15-1)&lt;=0.01,"PASS","CHECK")</x:f>
        <x:v>CHECK</x:v>
      </x:c>
    </x:row>
    <x:row r="16">
      <x:c r="A16" t="str">
        <x:v>最高单鱼收益占比</x:v>
      </x:c>
      <x:c r="B16" s="50" t="n">
        <x:f>IFERROR(MAX(G4:G11)/SUM(G4:G11),0)</x:f>
        <x:v>0</x:v>
      </x:c>
      <x:c r="C16" t="str">
        <x:v>不应形成唯一最优解</x:v>
      </x:c>
      <x:c r="D16" s="41" t="str">
        <x:f>IF(B16&lt;=0.5,"PASS","CHECK")</x:f>
        <x:v>PASS</x:v>
      </x:c>
    </x:row>
    <x:row r="17">
      <x:c r="A17" t="str">
        <x:v>钓鱼每分钟期望收益</x:v>
      </x:c>
      <x:c r="B17" s="41" t="n">
        <x:f>SUM(H4:H11)</x:f>
        <x:v>0</x:v>
      </x:c>
      <x:c r="C17" t="str">
        <x:v>与种田日均收益保持可解释差异</x:v>
      </x:c>
      <x:c r="D17" s="41" t="str">
        <x:f>IF(B17&gt;0,"READY","MISSING DATA")</x:f>
        <x:v>MISSING DATA</x:v>
      </x:c>
    </x:row>
  </x:sheetData>
  <x:mergeCells>
    <x:mergeCell ref="A1:K1"/>
  </x:mergeCells>
  <x:dataValidations count="1">
    <x:dataValidation type="list" sqref="B4:B11">
      <x:formula1>"Common,Uncommon,Rare,Legendary,其他"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3" hidden="0" customWidth="1"/>
    <x:col min="5" max="5" width="15" hidden="0" customWidth="1"/>
    <x:col min="6" max="6" width="20" hidden="0" customWidth="1"/>
    <x:col min="7" max="7" width="22" hidden="0" customWidth="1"/>
    <x:col min="8" max="8" width="28" hidden="0" customWidth="1"/>
    <x:col min="9" max="9" width="32" hidden="0" customWidth="1"/>
    <x:col min="10" max="10" width="24" hidden="0" customWidth="1"/>
  </x:cols>
  <x:sheetData>
    <x:row r="1">
      <x:c r="A1" s="5" t="str">
        <x:v>Day 1｜商店价格与任务奖励盘点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类型</x:v>
      </x:c>
      <x:c r="B3" s="14" t="str">
        <x:v>名称</x:v>
      </x:c>
      <x:c r="C3" s="14" t="str">
        <x:v>分类</x:v>
      </x:c>
      <x:c r="D3" s="14" t="str">
        <x:v>购买价格</x:v>
      </x:c>
      <x:c r="E3" s="14" t="str">
        <x:v>任务奖励金币</x:v>
      </x:c>
      <x:c r="F3" s="14" t="str">
        <x:v>其他资源成本</x:v>
      </x:c>
      <x:c r="G3" s="14" t="str">
        <x:v>解锁条件</x:v>
      </x:c>
      <x:c r="H3" s="14" t="str">
        <x:v>购买/奖励目的</x:v>
      </x:c>
      <x:c r="I3" s="14" t="str">
        <x:v>代码来源/路径</x:v>
      </x:c>
      <x:c r="J3" s="14" t="str">
        <x:v>备注</x:v>
      </x:c>
    </x:row>
    <x:row r="4">
      <x:c r="A4" s="21"/>
      <x:c r="B4" s="21"/>
      <x:c r="C4" s="21"/>
      <x:c r="D4" s="52"/>
      <x:c r="E4" s="52"/>
      <x:c r="F4" s="21"/>
      <x:c r="G4" s="21"/>
      <x:c r="H4" s="21"/>
      <x:c r="I4" s="21"/>
      <x:c r="J4" s="21"/>
    </x:row>
    <x:row r="5">
      <x:c r="A5" s="21"/>
      <x:c r="B5" s="21"/>
      <x:c r="C5" s="21"/>
      <x:c r="D5" s="52"/>
      <x:c r="E5" s="52"/>
      <x:c r="F5" s="21"/>
      <x:c r="G5" s="21"/>
      <x:c r="H5" s="21"/>
      <x:c r="I5" s="21"/>
      <x:c r="J5" s="21"/>
    </x:row>
    <x:row r="6">
      <x:c r="A6" s="21"/>
      <x:c r="B6" s="21"/>
      <x:c r="C6" s="21"/>
      <x:c r="D6" s="52"/>
      <x:c r="E6" s="52"/>
      <x:c r="F6" s="21"/>
      <x:c r="G6" s="21"/>
      <x:c r="H6" s="21"/>
      <x:c r="I6" s="21"/>
      <x:c r="J6" s="21"/>
    </x:row>
    <x:row r="7">
      <x:c r="A7" s="21"/>
      <x:c r="B7" s="21"/>
      <x:c r="C7" s="21"/>
      <x:c r="D7" s="52"/>
      <x:c r="E7" s="52"/>
      <x:c r="F7" s="21"/>
      <x:c r="G7" s="21"/>
      <x:c r="H7" s="21"/>
      <x:c r="I7" s="21"/>
      <x:c r="J7" s="21"/>
    </x:row>
    <x:row r="8">
      <x:c r="A8" s="21"/>
      <x:c r="B8" s="21"/>
      <x:c r="C8" s="21"/>
      <x:c r="D8" s="52"/>
      <x:c r="E8" s="52"/>
      <x:c r="F8" s="21"/>
      <x:c r="G8" s="21"/>
      <x:c r="H8" s="21"/>
      <x:c r="I8" s="21"/>
      <x:c r="J8" s="21"/>
    </x:row>
    <x:row r="9">
      <x:c r="A9" s="21"/>
      <x:c r="B9" s="21"/>
      <x:c r="C9" s="21"/>
      <x:c r="D9" s="52"/>
      <x:c r="E9" s="52"/>
      <x:c r="F9" s="21"/>
      <x:c r="G9" s="21"/>
      <x:c r="H9" s="21"/>
      <x:c r="I9" s="21"/>
      <x:c r="J9" s="21"/>
    </x:row>
    <x:row r="10">
      <x:c r="A10" s="21"/>
      <x:c r="B10" s="21"/>
      <x:c r="C10" s="21"/>
      <x:c r="D10" s="52"/>
      <x:c r="E10" s="52"/>
      <x:c r="F10" s="21"/>
      <x:c r="G10" s="21"/>
      <x:c r="H10" s="21"/>
      <x:c r="I10" s="21"/>
      <x:c r="J10" s="21"/>
    </x:row>
    <x:row r="11">
      <x:c r="A11" s="21"/>
      <x:c r="B11" s="21"/>
      <x:c r="C11" s="21"/>
      <x:c r="D11" s="52"/>
      <x:c r="E11" s="52"/>
      <x:c r="F11" s="21"/>
      <x:c r="G11" s="21"/>
      <x:c r="H11" s="21"/>
      <x:c r="I11" s="21"/>
      <x:c r="J11" s="21"/>
    </x:row>
    <x:row r="12">
      <x:c r="A12" s="21"/>
      <x:c r="B12" s="21"/>
      <x:c r="C12" s="21"/>
      <x:c r="D12" s="52"/>
      <x:c r="E12" s="52"/>
      <x:c r="F12" s="21"/>
      <x:c r="G12" s="21"/>
      <x:c r="H12" s="21"/>
      <x:c r="I12" s="21"/>
      <x:c r="J12" s="21"/>
    </x:row>
    <x:row r="13">
      <x:c r="A13" s="21"/>
      <x:c r="B13" s="21"/>
      <x:c r="C13" s="21"/>
      <x:c r="D13" s="52"/>
      <x:c r="E13" s="52"/>
      <x:c r="F13" s="21"/>
      <x:c r="G13" s="21"/>
      <x:c r="H13" s="21"/>
      <x:c r="I13" s="21"/>
      <x:c r="J13" s="21"/>
    </x:row>
    <x:row r="14">
      <x:c r="A14" s="21"/>
      <x:c r="B14" s="21"/>
      <x:c r="C14" s="21"/>
      <x:c r="D14" s="52"/>
      <x:c r="E14" s="52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52"/>
      <x:c r="E15" s="52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52"/>
      <x:c r="E16" s="52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52"/>
      <x:c r="E17" s="52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52"/>
      <x:c r="E18" s="52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52"/>
      <x:c r="E19" s="52"/>
      <x:c r="F19" s="21"/>
      <x:c r="G19" s="21"/>
      <x:c r="H19" s="21"/>
      <x:c r="I19" s="21"/>
      <x:c r="J19" s="21"/>
    </x:row>
    <x:row r="20">
      <x:c r="A20" s="21"/>
      <x:c r="B20" s="21"/>
      <x:c r="C20" s="21"/>
      <x:c r="D20" s="52"/>
      <x:c r="E20" s="52"/>
      <x:c r="F20" s="21"/>
      <x:c r="G20" s="21"/>
      <x:c r="H20" s="21"/>
      <x:c r="I20" s="21"/>
      <x:c r="J20" s="21"/>
    </x:row>
    <x:row r="21">
      <x:c r="A21" s="21"/>
      <x:c r="B21" s="21"/>
      <x:c r="C21" s="21"/>
      <x:c r="D21" s="52"/>
      <x:c r="E21" s="52"/>
      <x:c r="F21" s="21"/>
      <x:c r="G21" s="21"/>
      <x:c r="H21" s="21"/>
      <x:c r="I21" s="21"/>
      <x:c r="J21" s="21"/>
    </x:row>
    <x:row r="22">
      <x:c r="A22" s="21"/>
      <x:c r="B22" s="21"/>
      <x:c r="C22" s="21"/>
      <x:c r="D22" s="52"/>
      <x:c r="E22" s="52"/>
      <x:c r="F22" s="21"/>
      <x:c r="G22" s="21"/>
      <x:c r="H22" s="21"/>
      <x:c r="I22" s="21"/>
      <x:c r="J22" s="21"/>
    </x:row>
    <x:row r="23">
      <x:c r="A23" s="21"/>
      <x:c r="B23" s="21"/>
      <x:c r="C23" s="21"/>
      <x:c r="D23" s="52"/>
      <x:c r="E23" s="52"/>
      <x:c r="F23" s="21"/>
      <x:c r="G23" s="21"/>
      <x:c r="H23" s="21"/>
      <x:c r="I23" s="21"/>
      <x:c r="J23" s="21"/>
    </x:row>
    <x:row r="26">
      <x:c r="A26" s="34" t="str">
        <x:v>检查重点：商店购买必须真实扣除金币；价格要能形成“现在消费 vs 为长期目标储蓄”的取舍。</x:v>
      </x:c>
      <x:c r="B26" s="34"/>
      <x:c r="C26" s="34"/>
      <x:c r="D26" s="34"/>
      <x:c r="E26" s="34"/>
      <x:c r="F26" s="34"/>
      <x:c r="G26" s="34"/>
      <x:c r="H26" s="34"/>
      <x:c r="I26" s="34"/>
      <x:c r="J26" s="34"/>
    </x:row>
  </x:sheetData>
  <x:mergeCells>
    <x:mergeCell ref="A1:J1"/>
    <x:mergeCell ref="A26:J26"/>
  </x:mergeCells>
  <x:dataValidations count="2">
    <x:dataValidation type="list" sqref="A4:A23">
      <x:formula1>"商店物品,帽子/外观,工具解锁,建筑/机器,任务奖励,其他"</x:formula1>
    </x:dataValidation>
    <x:dataValidation type="list" sqref="C4:C23">
      <x:formula1>"生产效率,玩法解锁,外观消费,长期目标,资源回收,其他"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4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5" t="str">
        <x:v>Day 2｜活动收益横向平衡模型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活动</x:v>
      </x:c>
      <x:c r="B3" s="14" t="str">
        <x:v>类型</x:v>
      </x:c>
      <x:c r="C3" s="14" t="str">
        <x:v>单位收益口径</x:v>
      </x:c>
      <x:c r="D3" s="14" t="str">
        <x:v>典型投入量</x:v>
      </x:c>
      <x:c r="E3" s="14" t="str">
        <x:v>单位期望收益</x:v>
      </x:c>
      <x:c r="F3" s="14" t="str">
        <x:v>预计日收益</x:v>
      </x:c>
      <x:c r="G3" s="14" t="str">
        <x:v>收益占比</x:v>
      </x:c>
      <x:c r="H3" s="14" t="str">
        <x:v>目标上限</x:v>
      </x:c>
      <x:c r="I3" s="14" t="str">
        <x:v>判断</x:v>
      </x:c>
    </x:row>
    <x:row r="4">
      <x:c r="A4" t="str">
        <x:v>Tomato</x:v>
      </x:c>
      <x:c r="B4" t="str">
        <x:v>种田</x:v>
      </x:c>
      <x:c r="C4" t="str">
        <x:v>每格/每天</x:v>
      </x:c>
      <x:c r="D4" s="21" t="str"/>
      <x:c r="E4" s="41" t="n">
        <x:f>'01_Crops'!H4</x:f>
        <x:v>0</x:v>
      </x:c>
      <x:c r="F4" s="41" t="n">
        <x:f>D4*E4</x:f>
        <x:v>0</x:v>
      </x:c>
      <x:c r="G4" s="50" t="n">
        <x:f>IFERROR(F4/SUM($F$4:$F$9),0)</x:f>
        <x:v>0</x:v>
      </x:c>
      <x:c r="H4" s="48" t="n">
        <x:v>0.5</x:v>
      </x:c>
      <x:c r="I4" s="41" t="str">
        <x:f>IF(G4&lt;=H4,"PASS","REBALANCE")</x:f>
        <x:v>PASS</x:v>
      </x:c>
    </x:row>
    <x:row r="5">
      <x:c r="A5" t="str">
        <x:v>Corn</x:v>
      </x:c>
      <x:c r="B5" t="str">
        <x:v>种田</x:v>
      </x:c>
      <x:c r="C5" t="str">
        <x:v>每格/每天</x:v>
      </x:c>
      <x:c r="D5" s="21" t="str"/>
      <x:c r="E5" s="41" t="n">
        <x:f>'01_Crops'!H5</x:f>
        <x:v>0</x:v>
      </x:c>
      <x:c r="F5" s="41" t="n">
        <x:f>D5*E5</x:f>
        <x:v>0</x:v>
      </x:c>
      <x:c r="G5" s="50" t="n">
        <x:f>IFERROR(F5/SUM($F$4:$F$9),0)</x:f>
        <x:v>0</x:v>
      </x:c>
      <x:c r="H5" s="48" t="n">
        <x:v>0.5</x:v>
      </x:c>
      <x:c r="I5" s="41" t="str">
        <x:f>IF(G5&lt;=H5,"PASS","REBALANCE")</x:f>
        <x:v>PASS</x:v>
      </x:c>
    </x:row>
    <x:row r="6">
      <x:c r="A6" t="str">
        <x:v>Pumpkin</x:v>
      </x:c>
      <x:c r="B6" t="str">
        <x:v>种田</x:v>
      </x:c>
      <x:c r="C6" t="str">
        <x:v>每格/每天</x:v>
      </x:c>
      <x:c r="D6" s="21" t="str"/>
      <x:c r="E6" s="41" t="n">
        <x:f>'01_Crops'!H6</x:f>
        <x:v>0</x:v>
      </x:c>
      <x:c r="F6" s="41" t="n">
        <x:f>D6*E6</x:f>
        <x:v>0</x:v>
      </x:c>
      <x:c r="G6" s="50" t="n">
        <x:f>IFERROR(F6/SUM($F$4:$F$9),0)</x:f>
        <x:v>0</x:v>
      </x:c>
      <x:c r="H6" s="48" t="n">
        <x:v>0.5</x:v>
      </x:c>
      <x:c r="I6" s="41" t="str">
        <x:f>IF(G6&lt;=H6,"PASS","REBALANCE")</x:f>
        <x:v>PASS</x:v>
      </x:c>
    </x:row>
    <x:row r="7">
      <x:c r="A7" t="str">
        <x:v>Wheat</x:v>
      </x:c>
      <x:c r="B7" t="str">
        <x:v>种田</x:v>
      </x:c>
      <x:c r="C7" t="str">
        <x:v>每格/每天</x:v>
      </x:c>
      <x:c r="D7" s="21" t="str"/>
      <x:c r="E7" s="41" t="n">
        <x:f>'01_Crops'!H7</x:f>
        <x:v>0</x:v>
      </x:c>
      <x:c r="F7" s="41" t="n">
        <x:f>D7*E7</x:f>
        <x:v>0</x:v>
      </x:c>
      <x:c r="G7" s="50" t="n">
        <x:f>IFERROR(F7/SUM($F$4:$F$9),0)</x:f>
        <x:v>0</x:v>
      </x:c>
      <x:c r="H7" s="48" t="n">
        <x:v>0.5</x:v>
      </x:c>
      <x:c r="I7" s="41" t="str">
        <x:f>IF(G7&lt;=H7,"PASS","REBALANCE")</x:f>
        <x:v>PASS</x:v>
      </x:c>
    </x:row>
    <x:row r="8">
      <x:c r="A8" t="str">
        <x:v>Fishing</x:v>
      </x:c>
      <x:c r="B8" t="str">
        <x:v>钓鱼</x:v>
      </x:c>
      <x:c r="C8" t="str">
        <x:v>每分钟</x:v>
      </x:c>
      <x:c r="D8" s="21" t="str"/>
      <x:c r="E8" s="41" t="n">
        <x:f>SUM('02_Fishing'!H4:H11)</x:f>
        <x:v>0</x:v>
      </x:c>
      <x:c r="F8" s="41" t="n">
        <x:f>D8*E8</x:f>
        <x:v>0</x:v>
      </x:c>
      <x:c r="G8" s="50" t="n">
        <x:f>IFERROR(F8/SUM($F$4:$F$9),0)</x:f>
        <x:v>0</x:v>
      </x:c>
      <x:c r="H8" s="48" t="n">
        <x:v>0.5</x:v>
      </x:c>
      <x:c r="I8" s="41" t="str">
        <x:f>IF(G8&lt;=H8,"PASS","REBALANCE")</x:f>
        <x:v>PASS</x:v>
      </x:c>
    </x:row>
    <x:row r="9">
      <x:c r="A9" t="str">
        <x:v>Quest</x:v>
      </x:c>
      <x:c r="B9" t="str">
        <x:v>任务</x:v>
      </x:c>
      <x:c r="C9" t="str">
        <x:v>每个任务</x:v>
      </x:c>
      <x:c r="D9" s="21" t="str"/>
      <x:c r="E9" s="41" t="n">
        <x:f>1</x:f>
        <x:v>1</x:v>
      </x:c>
      <x:c r="F9" s="41" t="n">
        <x:f>D9*E9</x:f>
        <x:v>0</x:v>
      </x:c>
      <x:c r="G9" s="50" t="n">
        <x:f>IFERROR(F9/SUM($F$4:$F$9),0)</x:f>
        <x:v>0</x:v>
      </x:c>
      <x:c r="H9" s="48" t="n">
        <x:v>0.5</x:v>
      </x:c>
      <x:c r="I9" s="41" t="str">
        <x:f>IF(G9&lt;=H9,"PASS","REBALANCE")</x:f>
        <x:v>PASS</x:v>
      </x:c>
    </x:row>
    <x:row r="12">
      <x:c r="A12" s="27" t="str">
        <x:v>模型填写说明</x:v>
      </x:c>
      <x:c r="B12" s="27" t="str"/>
      <x:c r="C12" s="27" t="str"/>
      <x:c r="D12" s="27" t="str"/>
    </x:row>
    <x:row r="13">
      <x:c r="A13" s="34" t="str">
        <x:v>作物典型投入量</x:v>
      </x:c>
      <x:c r="B13" s="34" t="str">
        <x:v>填写一天通常同时种植的格数</x:v>
      </x:c>
      <x:c r="C13" t="str"/>
      <x:c r="D13" t="str"/>
    </x:row>
    <x:row r="14">
      <x:c r="A14" s="34" t="str">
        <x:v>钓鱼典型投入量</x:v>
      </x:c>
      <x:c r="B14" s="34" t="str">
        <x:v>填写每天用于钓鱼的分钟数</x:v>
      </x:c>
      <x:c r="C14" t="str"/>
      <x:c r="D14" t="str"/>
    </x:row>
    <x:row r="15">
      <x:c r="A15" s="34" t="str">
        <x:v>任务典型投入量</x:v>
      </x:c>
      <x:c r="B15" s="34" t="str">
        <x:v>直接填写“预计每日任务金币收入”，因为单位收益设为1</x:v>
      </x:c>
      <x:c r="C15" t="str"/>
      <x:c r="D15" t="str"/>
    </x:row>
    <x:row r="16">
      <x:c r="A16" s="34" t="str">
        <x:v>核心目标</x:v>
      </x:c>
      <x:c r="B16" s="34" t="str">
        <x:v>任一活动的预计日收益占比不超过50%，除非有明确设计理由</x:v>
      </x:c>
      <x:c r="C16" t="str"/>
      <x:c r="D16" t="str"/>
    </x:row>
  </x:sheetData>
  <x:mergeCells>
    <x:mergeCell ref="A1:I1"/>
  </x:mergeCells>
  <x:conditionalFormatting sqref="G4:G9">
    <x:cfRule type="dataBar" priority="1">
      <x:dataBar>
        <x:cfvo type="min"/>
        <x:cfvo type="max"/>
        <x:color rgb="FF7FA88A"/>
      </x:dataBar>
      <x:extLst>
        <x:ext xmlns:x14="http://schemas.microsoft.com/office/spreadsheetml/2009/9/main" uri="{B025F937-C7B1-47D3-B67F-A62EFF666E3E}">
          <x14:id>{5C862A51-08BD-7ECF-8945-F93F154A1A91}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7f00133323442b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862A51-08BD-7ECF-8945-F93F154A1A91}">
            <x14:dataBar gradient="1">
              <x14:cfvo type="min"/>
              <x14:cfvo type="max"/>
              <x14:fillColor rgb="FF7FA88A"/>
            </x14:dataBar>
          </x14:cfRule>
          <xm:sqref>G4:G9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5" t="str">
        <x:v>Day 3｜经济系统闭环图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4">
      <x:c r="A4" s="73" t="str">
        <x:v>生产活动
种植｜钓鱼｜任务</x:v>
      </x:c>
      <x:c r="B4" s="74"/>
      <x:c r="D4" s="73" t="str">
        <x:v>资源产出
作物｜鱼｜金币｜材料</x:v>
      </x:c>
      <x:c r="E4" s="74"/>
      <x:c r="G4" s="73" t="str">
        <x:v>消费决策
种子｜工具｜机器｜礼物</x:v>
      </x:c>
      <x:c r="H4" s="74"/>
      <x:c r="J4" s="73" t="str">
        <x:v>效率提升
更高产出｜更快回款</x:v>
      </x:c>
      <x:c r="K4" s="74"/>
    </x:row>
    <x:row r="5">
      <x:c r="A5" s="75"/>
      <x:c r="B5" s="76"/>
      <x:c r="C5" t="str">
        <x:v>→</x:v>
      </x:c>
      <x:c r="D5" s="75"/>
      <x:c r="E5" s="76"/>
      <x:c r="F5" t="str">
        <x:v>→</x:v>
      </x:c>
      <x:c r="G5" s="75"/>
      <x:c r="H5" s="76"/>
      <x:c r="I5" t="str">
        <x:v>→</x:v>
      </x:c>
      <x:c r="J5" s="75"/>
      <x:c r="K5" s="76"/>
    </x:row>
    <x:row r="6">
      <x:c r="A6" s="75"/>
      <x:c r="B6" s="76"/>
      <x:c r="D6" s="75"/>
      <x:c r="E6" s="76"/>
      <x:c r="G6" s="75"/>
      <x:c r="H6" s="76"/>
      <x:c r="J6" s="75"/>
      <x:c r="K6" s="76"/>
    </x:row>
    <x:row r="7">
      <x:c r="A7" s="77"/>
      <x:c r="B7" s="78"/>
      <x:c r="D7" s="77"/>
      <x:c r="E7" s="78"/>
      <x:c r="G7" s="77"/>
      <x:c r="H7" s="78"/>
      <x:c r="J7" s="77"/>
      <x:c r="K7" s="78"/>
    </x:row>
    <x:row r="9">
      <x:c r="K9" t="str">
        <x:v>↘</x:v>
      </x:c>
    </x:row>
    <x:row r="10">
      <x:c r="D10" s="34"/>
      <x:c r="E10" s="34"/>
      <x:c r="F10" s="34" t="str">
        <x:v>长期目标：温室 / 更高阶升级（本轮仅作为下一步计划）</x:v>
      </x:c>
      <x:c r="G10" s="34"/>
      <x:c r="H10" s="34"/>
    </x:row>
    <x:row r="11">
      <x:c r="D11" s="34"/>
      <x:c r="E11" s="34"/>
      <x:c r="F11" s="34"/>
      <x:c r="G11" s="34"/>
      <x:c r="H11" s="34"/>
    </x:row>
    <x:row r="14">
      <x:c r="A14" s="14" t="str">
        <x:v>设计检查</x:v>
      </x:c>
      <x:c r="B14" s="14" t="str">
        <x:v>问题</x:v>
      </x:c>
      <x:c r="C14" s="14" t="str">
        <x:v>回答</x:v>
      </x:c>
      <x:c r="D14" t="str"/>
      <x:c r="E14" t="str"/>
      <x:c r="F14" t="str"/>
      <x:c r="G14" t="str"/>
      <x:c r="H14" t="str"/>
      <x:c r="I14" t="str"/>
      <x:c r="J14" t="str"/>
      <x:c r="K14" t="str"/>
    </x:row>
    <x:row r="15">
      <x:c r="A15" t="str">
        <x:v>资源来源</x:v>
      </x:c>
      <x:c r="B15" t="str">
        <x:v>金币和资源从哪里来？</x:v>
      </x:c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</x:row>
    <x:row r="16">
      <x:c r="A16" t="str">
        <x:v>资源消耗</x:v>
      </x:c>
      <x:c r="B16" t="str">
        <x:v>金币为什么不会无限积累？</x:v>
      </x:c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</x:row>
    <x:row r="17">
      <x:c r="A17" t="str">
        <x:v>玩家取舍</x:v>
      </x:c>
      <x:c r="B17" t="str">
        <x:v>工具、机器、礼物和储蓄之间有什么选择？</x:v>
      </x:c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</x:row>
    <x:row r="18">
      <x:c r="A18" t="str">
        <x:v>回报逻辑</x:v>
      </x:c>
      <x:c r="B18" t="str">
        <x:v>消费后如何提升效率或推动长期目标？</x:v>
      </x:c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</x:row>
  </x:sheetData>
  <x:mergeCells>
    <x:mergeCell ref="A1:J1"/>
    <x:mergeCell ref="A4:B7"/>
    <x:mergeCell ref="D4:E7"/>
    <x:mergeCell ref="G4:H7"/>
    <x:mergeCell ref="J4:K7"/>
    <x:mergeCell ref="D10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20" hidden="0" customWidth="1"/>
    <x:col min="8" max="8" width="28" hidden="0" customWidth="1"/>
  </x:cols>
  <x:sheetData>
    <x:row r="1">
      <x:c r="A1" s="5" t="str">
        <x:v>Day 4｜真实测试 Before / After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测试指标</x:v>
      </x:c>
      <x:c r="B3" s="14" t="str">
        <x:v>目标值</x:v>
      </x:c>
      <x:c r="C3" s="14" t="str">
        <x:v>V1 实测</x:v>
      </x:c>
      <x:c r="D3" s="14" t="str">
        <x:v>V2 实测</x:v>
      </x:c>
      <x:c r="E3" s="14" t="str">
        <x:v>变化</x:v>
      </x:c>
      <x:c r="F3" s="14" t="str">
        <x:v>是否改善</x:v>
      </x:c>
      <x:c r="G3" s="14" t="str">
        <x:v>记录方式</x:v>
      </x:c>
      <x:c r="H3" s="14" t="str">
        <x:v>备注</x:v>
      </x:c>
    </x:row>
    <x:row r="4">
      <x:c r="A4" t="str">
        <x:v>首次获得收入时间（分钟）</x:v>
      </x:c>
      <x:c r="B4" s="21" t="str">
        <x:v>自行设定</x:v>
      </x:c>
      <x:c r="C4" s="21" t="str"/>
      <x:c r="D4" s="21" t="str"/>
      <x:c r="E4" s="41" t="str">
        <x:f>IF(OR(C4="",D4=""),"",D4-C4)</x:f>
      </x:c>
      <x:c r="F4" s="41" t="str">
        <x:f>IF(E4="","",IF(ABS(E4)&gt;0,"CHECK","NO CHANGE"))</x:f>
      </x:c>
      <x:c r="G4" t="str">
        <x:v>计时器</x:v>
      </x:c>
      <x:c r="H4" s="21" t="str"/>
    </x:row>
    <x:row r="5">
      <x:c r="A5" t="str">
        <x:v>Day 5 总资产</x:v>
      </x:c>
      <x:c r="B5" s="21" t="str">
        <x:v>自行设定区间</x:v>
      </x:c>
      <x:c r="C5" s="21" t="str"/>
      <x:c r="D5" s="21" t="str"/>
      <x:c r="E5" s="41" t="str">
        <x:f>IF(OR(C5="",D5=""),"",D5-C5)</x:f>
      </x:c>
      <x:c r="F5" s="41" t="str">
        <x:f>IF(E5="","",IF(ABS(E5)&gt;0,"CHECK","NO CHANGE"))</x:f>
      </x:c>
      <x:c r="G5" t="str">
        <x:v>金币+可出售资源</x:v>
      </x:c>
      <x:c r="H5" s="21" t="str"/>
    </x:row>
    <x:row r="6">
      <x:c r="A6" t="str">
        <x:v>最高收入来源占比</x:v>
      </x:c>
      <x:c r="B6" s="21" t="str">
        <x:v>≤50%</x:v>
      </x:c>
      <x:c r="C6" s="48" t="str"/>
      <x:c r="D6" s="48" t="str"/>
      <x:c r="E6" s="41" t="str">
        <x:f>IF(OR(C6="",D6=""),"",D6-C6)</x:f>
      </x:c>
      <x:c r="F6" s="41" t="str">
        <x:f>IF(E6="","",IF(ABS(E6)&gt;0,"CHECK","NO CHANGE"))</x:f>
      </x:c>
      <x:c r="G6" t="str">
        <x:v>按来源统计收入</x:v>
      </x:c>
      <x:c r="H6" s="21" t="str"/>
    </x:row>
    <x:row r="7">
      <x:c r="A7" t="str">
        <x:v>种田收入</x:v>
      </x:c>
      <x:c r="B7" s="21" t="str">
        <x:v>真实记录</x:v>
      </x:c>
      <x:c r="C7" s="21" t="str"/>
      <x:c r="D7" s="21" t="str"/>
      <x:c r="E7" s="41" t="str">
        <x:f>IF(OR(C7="",D7=""),"",D7-C7)</x:f>
      </x:c>
      <x:c r="F7" s="41" t="str">
        <x:f>IF(E7="","",IF(ABS(E7)&gt;0,"CHECK","NO CHANGE"))</x:f>
      </x:c>
      <x:c r="G7" t="str">
        <x:v>累计</x:v>
      </x:c>
      <x:c r="H7" s="21" t="str"/>
    </x:row>
    <x:row r="8">
      <x:c r="A8" t="str">
        <x:v>钓鱼收入</x:v>
      </x:c>
      <x:c r="B8" s="21" t="str">
        <x:v>真实记录</x:v>
      </x:c>
      <x:c r="C8" s="21" t="str"/>
      <x:c r="D8" s="21" t="str"/>
      <x:c r="E8" s="41" t="str">
        <x:f>IF(OR(C8="",D8=""),"",D8-C8)</x:f>
      </x:c>
      <x:c r="F8" s="41" t="str">
        <x:f>IF(E8="","",IF(ABS(E8)&gt;0,"CHECK","NO CHANGE"))</x:f>
      </x:c>
      <x:c r="G8" t="str">
        <x:v>累计</x:v>
      </x:c>
      <x:c r="H8" s="21" t="str"/>
    </x:row>
    <x:row r="9">
      <x:c r="A9" t="str">
        <x:v>任务收入</x:v>
      </x:c>
      <x:c r="B9" s="21" t="str">
        <x:v>真实记录</x:v>
      </x:c>
      <x:c r="C9" s="21" t="str"/>
      <x:c r="D9" s="21" t="str"/>
      <x:c r="E9" s="41" t="str">
        <x:f>IF(OR(C9="",D9=""),"",D9-C9)</x:f>
      </x:c>
      <x:c r="F9" s="41" t="str">
        <x:f>IF(E9="","",IF(ABS(E9)&gt;0,"CHECK","NO CHANGE"))</x:f>
      </x:c>
      <x:c r="G9" t="str">
        <x:v>累计</x:v>
      </x:c>
      <x:c r="H9" s="21" t="str"/>
    </x:row>
    <x:row r="10">
      <x:c r="A10" t="str">
        <x:v>商店总消费</x:v>
      </x:c>
      <x:c r="B10" s="21" t="str">
        <x:v>真实记录</x:v>
      </x:c>
      <x:c r="C10" s="21" t="str"/>
      <x:c r="D10" s="21" t="str"/>
      <x:c r="E10" s="41" t="str">
        <x:f>IF(OR(C10="",D10=""),"",D10-C10)</x:f>
      </x:c>
      <x:c r="F10" s="41" t="str">
        <x:f>IF(E10="","",IF(ABS(E10)&gt;0,"CHECK","NO CHANGE"))</x:f>
      </x:c>
      <x:c r="G10" t="str">
        <x:v>累计</x:v>
      </x:c>
      <x:c r="H10" s="21" t="str"/>
    </x:row>
    <x:row r="11">
      <x:c r="A11" t="str">
        <x:v>第一次重要购买发生日</x:v>
      </x:c>
      <x:c r="B11" s="21" t="str">
        <x:v>Day 2–3（可调整）</x:v>
      </x:c>
      <x:c r="C11" s="21" t="str"/>
      <x:c r="D11" s="21" t="str"/>
      <x:c r="E11" s="41" t="str">
        <x:f>IF(OR(C11="",D11=""),"",D11-C11)</x:f>
      </x:c>
      <x:c r="F11" s="41" t="str">
        <x:f>IF(E11="","",IF(ABS(E11)&gt;0,"CHECK","NO CHANGE"))</x:f>
      </x:c>
      <x:c r="G11" t="str">
        <x:v>游戏日</x:v>
      </x:c>
      <x:c r="H11" s="21" t="str"/>
    </x:row>
    <x:row r="12">
      <x:c r="A12" t="str">
        <x:v>无明确目标时长（分钟）</x:v>
      </x:c>
      <x:c r="B12" s="21" t="str">
        <x:v>尽量低</x:v>
      </x:c>
      <x:c r="C12" s="21" t="str"/>
      <x:c r="D12" s="21" t="str"/>
      <x:c r="E12" s="41" t="str">
        <x:f>IF(OR(C12="",D12=""),"",D12-C12)</x:f>
      </x:c>
      <x:c r="F12" s="41" t="str">
        <x:f>IF(E12="","",IF(ABS(E12)&gt;0,"CHECK","NO CHANGE"))</x:f>
      </x:c>
      <x:c r="G12" t="str">
        <x:v>主观+计时</x:v>
      </x:c>
      <x:c r="H12" s="21" t="str"/>
    </x:row>
    <x:row r="15">
      <x:c r="A15" s="14" t="str">
        <x:v>收入来源</x:v>
      </x:c>
      <x:c r="B15" s="14" t="str">
        <x:v>V1 收入</x:v>
      </x:c>
      <x:c r="C15" s="14" t="str">
        <x:v>V1 占比</x:v>
      </x:c>
      <x:c r="D15" s="14" t="str">
        <x:v>V2 收入</x:v>
      </x:c>
      <x:c r="E15" s="14" t="str">
        <x:v>V2 占比</x:v>
      </x:c>
      <x:c r="F15" s="14" t="str">
        <x:v>变化</x:v>
      </x:c>
    </x:row>
    <x:row r="16">
      <x:c r="A16" t="str">
        <x:v>种田</x:v>
      </x:c>
      <x:c r="B16" s="21" t="str"/>
      <x:c r="C16" s="104" t="n">
        <x:f>IFERROR(B16/$B$20,0)</x:f>
        <x:v>0</x:v>
      </x:c>
      <x:c r="D16" s="21" t="str"/>
      <x:c r="E16" s="104" t="n">
        <x:f>IFERROR(D16/$D$20,0)</x:f>
        <x:v>0</x:v>
      </x:c>
      <x:c r="F16" s="104" t="n">
        <x:f>E16-C16</x:f>
        <x:v>0</x:v>
      </x:c>
    </x:row>
    <x:row r="17">
      <x:c r="A17" t="str">
        <x:v>钓鱼</x:v>
      </x:c>
      <x:c r="B17" s="21" t="str"/>
      <x:c r="C17" s="104" t="n">
        <x:f>IFERROR(B17/$B$20,0)</x:f>
        <x:v>0</x:v>
      </x:c>
      <x:c r="D17" s="21" t="str"/>
      <x:c r="E17" s="104" t="n">
        <x:f>IFERROR(D17/$D$20,0)</x:f>
        <x:v>0</x:v>
      </x:c>
      <x:c r="F17" s="104" t="n">
        <x:f>E17-C17</x:f>
        <x:v>0</x:v>
      </x:c>
    </x:row>
    <x:row r="18">
      <x:c r="A18" t="str">
        <x:v>任务</x:v>
      </x:c>
      <x:c r="B18" s="21" t="str"/>
      <x:c r="C18" s="104" t="n">
        <x:f>IFERROR(B18/$B$20,0)</x:f>
        <x:v>0</x:v>
      </x:c>
      <x:c r="D18" s="21" t="str"/>
      <x:c r="E18" s="104" t="n">
        <x:f>IFERROR(D18/$D$20,0)</x:f>
        <x:v>0</x:v>
      </x:c>
      <x:c r="F18" s="104" t="n">
        <x:f>E18-C18</x:f>
        <x:v>0</x:v>
      </x:c>
    </x:row>
    <x:row r="19">
      <x:c r="A19" t="str">
        <x:v>其他</x:v>
      </x:c>
      <x:c r="B19" s="21" t="str"/>
      <x:c r="C19" s="104" t="n">
        <x:f>IFERROR(B19/$B$20,0)</x:f>
        <x:v>0</x:v>
      </x:c>
      <x:c r="D19" s="21" t="str"/>
      <x:c r="E19" s="104" t="n">
        <x:f>IFERROR(D19/$D$20,0)</x:f>
        <x:v>0</x:v>
      </x:c>
      <x:c r="F19" s="104" t="n">
        <x:f>E19-C19</x:f>
        <x:v>0</x:v>
      </x:c>
    </x:row>
    <x:row r="20">
      <x:c r="A20" t="str">
        <x:v>合计</x:v>
      </x:c>
      <x:c r="B20" s="41" t="n">
        <x:f>SUM(B16:B19)</x:f>
        <x:v>0</x:v>
      </x:c>
      <x:c r="C20" s="41" t="str"/>
      <x:c r="D20" s="41" t="n">
        <x:f>SUM(D16:D19)</x:f>
        <x:v>0</x:v>
      </x:c>
      <x:c r="E20" s="41" t="str"/>
      <x:c r="F20" s="41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cd5179742d14847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Day 5｜作品集案例一页稿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1. Design Problem</x:v>
      </x:c>
      <x:c r="B3" s="27"/>
      <x:c r="C3" s="27"/>
      <x:c r="D3" s="27"/>
      <x:c r="E3" s="27"/>
      <x:c r="F3" s="27"/>
      <x:c r="G3" s="27"/>
      <x:c r="H3" s="27"/>
    </x:row>
    <x:row r="4">
      <x:c r="A4" s="21" t="str">
        <x:v>现有 Demo 功能较多，但各玩法之间缺少统一的收益口径、资源消耗压力和可验证的经济平衡，导致系统更像功能堆叠，而不是经过设计的成长循环。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7">
      <x:c r="A7" s="27" t="str">
        <x:v>2. Design Goal</x:v>
      </x:c>
      <x:c r="B7" s="27"/>
      <x:c r="C7" s="27"/>
      <x:c r="D7" s="27"/>
      <x:c r="E7" s="27"/>
      <x:c r="F7" s="27"/>
      <x:c r="G7" s="27"/>
      <x:c r="H7" s="27"/>
    </x:row>
    <x:row r="8">
      <x:c r="A8" s="21" t="str">
        <x:v>建立一套可解释、可测试的早期经济模型，使种田、钓鱼和任务各自拥有明确定位，并让玩家在消费与储蓄之间产生真实取舍。</x:v>
      </x:c>
      <x:c r="B8" s="21"/>
      <x:c r="C8" s="21"/>
      <x:c r="D8" s="21"/>
      <x:c r="E8" s="21"/>
      <x:c r="F8" s="21"/>
      <x:c r="G8" s="21"/>
      <x:c r="H8" s="21"/>
    </x:row>
    <x:row r="9">
      <x:c r="A9" s="21"/>
      <x:c r="B9" s="21"/>
      <x:c r="C9" s="21"/>
      <x:c r="D9" s="21"/>
      <x:c r="E9" s="21"/>
      <x:c r="F9" s="21"/>
      <x:c r="G9" s="21"/>
      <x:c r="H9" s="21"/>
    </x:row>
    <x:row r="11">
      <x:c r="A11" s="27" t="str">
        <x:v>3. Design Process</x:v>
      </x:c>
      <x:c r="B11" s="27"/>
      <x:c r="C11" s="27"/>
      <x:c r="D11" s="27"/>
      <x:c r="E11" s="27"/>
      <x:c r="F11" s="27"/>
      <x:c r="G11" s="27"/>
      <x:c r="H11" s="27"/>
    </x:row>
    <x:row r="12">
      <x:c r="A12" s="21" t="str">
        <x:v>① 盘点原始数值；② 统一换算日均/单位时间收益；③ 识别唯一最优策略；④ 调整售价与价格；⑤ 完成两轮真实测试；⑥ 用 Before / After 数据验证结果。</x:v>
      </x:c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7">
      <x:c r="A17" s="27" t="str">
        <x:v>4. Final Result</x:v>
      </x:c>
      <x:c r="B17" s="27"/>
      <x:c r="C17" s="27"/>
      <x:c r="D17" s="27"/>
      <x:c r="E17" s="27"/>
      <x:c r="F17" s="27"/>
      <x:c r="G17" s="27"/>
      <x:c r="H17" s="27"/>
    </x:row>
    <x:row r="18">
      <x:c r="A18" s="21" t="str">
        <x:v>请填写真实结果，例如：最高收入来源占比从 __% 降至 __%；Day 5 总资产从 __ 调整为 __；第一次重要购买从 Day __ 调整到 Day __。</x:v>
      </x:c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3">
      <x:c r="A23" s="27" t="str">
        <x:v>5. Next Step</x:v>
      </x:c>
      <x:c r="B23" s="27"/>
      <x:c r="C23" s="27"/>
      <x:c r="D23" s="27"/>
      <x:c r="E23" s="27"/>
      <x:c r="F23" s="27"/>
      <x:c r="G23" s="27"/>
      <x:c r="H23" s="27"/>
    </x:row>
    <x:row r="24">
      <x:c r="A24" s="21" t="str">
        <x:v>下一步计划：把温室作为跨系统中期目标，并在后续版本中补充前10日解锁曲线和存档系统。</x:v>
      </x:c>
      <x:c r="B24" s="21"/>
      <x:c r="C24" s="21"/>
      <x:c r="D24" s="21"/>
      <x:c r="E24" s="21"/>
      <x:c r="F24" s="21"/>
      <x:c r="G24" s="21"/>
      <x:c r="H24" s="21"/>
    </x:row>
    <x:row r="25">
      <x:c r="A25" s="21"/>
      <x:c r="B25" s="21"/>
      <x:c r="C25" s="21"/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</x:sheetData>
  <x:mergeCells>
    <x:mergeCell ref="A1:H1"/>
    <x:mergeCell ref="A3:H3"/>
    <x:mergeCell ref="A7:H7"/>
    <x:mergeCell ref="A11:H11"/>
    <x:mergeCell ref="A17:H17"/>
    <x:mergeCell ref="A23:H23"/>
    <x:mergeCell ref="A4:H5"/>
    <x:mergeCell ref="A8:H9"/>
    <x:mergeCell ref="A12:H15"/>
    <x:mergeCell ref="A18:H21"/>
    <x:mergeCell ref="A24:H26"/>
  </x:mergeCells>
  <x:pageMargins left="0.7" right="0.7" top="0.75" bottom="0.75" header="0.3" footer="0.3"/>
</x:worksheet>
</file>